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a\Desktop\SSD_DIETA\"/>
    </mc:Choice>
  </mc:AlternateContent>
  <xr:revisionPtr revIDLastSave="0" documentId="13_ncr:1_{ABEDA067-C79D-40FC-9EED-B45321421434}" xr6:coauthVersionLast="45" xr6:coauthVersionMax="45" xr10:uidLastSave="{00000000-0000-0000-0000-000000000000}"/>
  <bookViews>
    <workbookView xWindow="-120" yWindow="-120" windowWidth="20730" windowHeight="11760" xr2:uid="{00000000-000D-0000-FFFF-FFFF00000000}"/>
  </bookViews>
  <sheets>
    <sheet name="Main" sheetId="1" r:id="rId1"/>
    <sheet name="Modelo" sheetId="6" state="hidden" r:id="rId2"/>
    <sheet name="Resultados" sheetId="3" state="hidden" r:id="rId3"/>
    <sheet name="Hoja2" sheetId="7" state="hidden" r:id="rId4"/>
    <sheet name="Backup" sheetId="5" state="hidden" r:id="rId5"/>
    <sheet name="Prueba" sheetId="4" state="hidden" r:id="rId6"/>
    <sheet name="Hoja1" sheetId="2" state="hidden" r:id="rId7"/>
  </sheets>
  <definedNames>
    <definedName name="AD">Resultados!$V$9:$W$9</definedName>
    <definedName name="AJ">Resultados!$M$9:$N$9</definedName>
    <definedName name="AL">Resultados!$D$9:$E$9</definedName>
    <definedName name="AM">Resultados!$G$9:$H$9</definedName>
    <definedName name="AS">Resultados!$S$9:$T$9</definedName>
    <definedName name="AV">Resultados!$P$9:$Q$9</definedName>
    <definedName name="AX">Resultados!$J$9:$K$9</definedName>
    <definedName name="caloriasRecomendadas">Resultados!$F$3</definedName>
    <definedName name="CD">Resultados!$V$11:$W$11</definedName>
    <definedName name="CJ">Resultados!$M$11:$N$11</definedName>
    <definedName name="CL">Resultados!$D$11:$E$11</definedName>
    <definedName name="CM">Resultados!$G$11:$H$11</definedName>
    <definedName name="CS">Resultados!$S$11:$T$11</definedName>
    <definedName name="CV">Resultados!$P$11:$Q$11</definedName>
    <definedName name="CX">Resultados!$J$11:$K$11</definedName>
    <definedName name="DD">Resultados!$V$7:$W$7</definedName>
    <definedName name="DJ">Resultados!$M$7:$N$7</definedName>
    <definedName name="DL">Resultados!$D$7:$E$7</definedName>
    <definedName name="DM">Resultados!$G$7:$H$7</definedName>
    <definedName name="DS">Resultados!$S$7:$T$7</definedName>
    <definedName name="DV">Resultados!$P$7:$Q$7</definedName>
    <definedName name="DX">Resultados!$J$7:$K$7</definedName>
    <definedName name="MMD">Resultados!$V$8:$W$8</definedName>
    <definedName name="MMJ">Resultados!$M$8:$N$8</definedName>
    <definedName name="MML">Resultados!$D$8:$E$8</definedName>
    <definedName name="MMM">Resultados!$G$8:$H$8</definedName>
    <definedName name="MMS">Resultados!$S$8:$T$8</definedName>
    <definedName name="MMV">Resultados!$P$8:$Q$8</definedName>
    <definedName name="MMX">Resultados!$J$8:$K$8</definedName>
    <definedName name="Modelo">Modelo!$A$1:$A$131</definedName>
    <definedName name="MTD">Resultados!$V$10:$W$10</definedName>
    <definedName name="MTJ">Resultados!$M$10:$N$10</definedName>
    <definedName name="MTL">Resultados!$D$10:$E$10</definedName>
    <definedName name="MTM">Resultados!$G$10:$H$10</definedName>
    <definedName name="MTS">Resultados!$S$10:$T$10</definedName>
    <definedName name="MTV">Resultados!$P$10:$Q$10</definedName>
    <definedName name="MTX">Resultados!$J$10:$K$10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0" i="6" l="1"/>
  <c r="V11" i="5" l="1"/>
  <c r="V12" i="5" s="1"/>
  <c r="S11" i="5"/>
  <c r="S12" i="5" s="1"/>
  <c r="P11" i="5"/>
  <c r="P12" i="5" s="1"/>
  <c r="M11" i="5"/>
  <c r="M12" i="5" s="1"/>
  <c r="J11" i="5"/>
  <c r="J12" i="5" s="1"/>
  <c r="G11" i="5"/>
  <c r="G12" i="5" s="1"/>
  <c r="D11" i="5"/>
  <c r="D12" i="5" s="1"/>
  <c r="W13" i="3" l="1"/>
  <c r="W14" i="3" s="1"/>
  <c r="T13" i="3"/>
  <c r="T14" i="3" s="1"/>
  <c r="Q13" i="3"/>
  <c r="Q14" i="3" s="1"/>
  <c r="N13" i="3"/>
  <c r="N14" i="3" s="1"/>
  <c r="K13" i="3"/>
  <c r="K14" i="3" s="1"/>
  <c r="H13" i="3"/>
  <c r="H14" i="3" s="1"/>
  <c r="E13" i="3"/>
  <c r="E14" i="3" s="1"/>
  <c r="E15" i="3" l="1"/>
</calcChain>
</file>

<file path=xl/sharedStrings.xml><?xml version="1.0" encoding="utf-8"?>
<sst xmlns="http://schemas.openxmlformats.org/spreadsheetml/2006/main" count="227" uniqueCount="178">
  <si>
    <t>Calorías diarias recomendadas</t>
  </si>
  <si>
    <t>LUNES</t>
  </si>
  <si>
    <t>MARTES</t>
  </si>
  <si>
    <t>MIÉRCOLES</t>
  </si>
  <si>
    <t>JUEVES</t>
  </si>
  <si>
    <t>VIERNES</t>
  </si>
  <si>
    <t>SÁBADO</t>
  </si>
  <si>
    <t>DOMINGO</t>
  </si>
  <si>
    <t>D</t>
  </si>
  <si>
    <t>MM</t>
  </si>
  <si>
    <t>A</t>
  </si>
  <si>
    <t>MT</t>
  </si>
  <si>
    <t>C</t>
  </si>
  <si>
    <t>cod</t>
  </si>
  <si>
    <t>cal</t>
  </si>
  <si>
    <t>Suma</t>
  </si>
  <si>
    <t>Diferencia</t>
  </si>
  <si>
    <t>Total de diferencia</t>
  </si>
  <si>
    <t>2 tostadas con palta, jamon y huevo y jugo de naranja</t>
  </si>
  <si>
    <t>Cafe, sandwitch de pollo, jugo de piña</t>
  </si>
  <si>
    <t>Infusión, pan integral, pollo desilachado, ensalada de frutas</t>
  </si>
  <si>
    <t>Ensalada de frutas, panqueques, tasa de cereal y jugo de piña</t>
  </si>
  <si>
    <t>2 Tostadas, aceitunas, jugo de naranja, cafe</t>
  </si>
  <si>
    <t>SET ECHOIN 1</t>
  </si>
  <si>
    <t xml:space="preserve">Model: </t>
  </si>
  <si>
    <t>TITLE DB_Platos;</t>
  </si>
  <si>
    <t>sets:</t>
  </si>
  <si>
    <t>!j; mediaManana/mm01..mm17/: CalMM;</t>
  </si>
  <si>
    <t>!n; dia/1..7/;</t>
  </si>
  <si>
    <t>!i,n; ddia(desayuno,dia): A;</t>
  </si>
  <si>
    <t>!j,n; mmdia(mediaManana,dia): B;</t>
  </si>
  <si>
    <t>!k,n; adia(almuerzo,dia): C;</t>
  </si>
  <si>
    <t>!l,n; mtdia(mediaTarde,dia): D;</t>
  </si>
  <si>
    <t>!m,n; cdia(cena,dia): E;</t>
  </si>
  <si>
    <t>endsets</t>
  </si>
  <si>
    <t>data:</t>
  </si>
  <si>
    <t>!i,n; CalD = @ODBC();</t>
  </si>
  <si>
    <t>!j,n; CalMM = @ODBC();</t>
  </si>
  <si>
    <t>!k,n; CalA = @ODBC();</t>
  </si>
  <si>
    <t>!l,n; CalMT = @ODBC();</t>
  </si>
  <si>
    <t>!m,n; CalCC = @ODBC();</t>
  </si>
  <si>
    <t>caloriasRecomendadas =  @OLE('\SSDDietaSaludable.xlsm');</t>
  </si>
  <si>
    <t>enddata</t>
  </si>
  <si>
    <t>! FUNCIÓN OBJETIVO: ;</t>
  </si>
  <si>
    <t>min =  @sum(dia(n):@sum(desayuno(i):A(i,n)*CalD(i)) +</t>
  </si>
  <si>
    <t>@sum(mediaManana(j):B(j,n)*CalMM(j)) +</t>
  </si>
  <si>
    <t>@sum(almuerzo(k):C(k,n)*CalA(k)) +</t>
  </si>
  <si>
    <t xml:space="preserve">@sum(mediaTarde(l):D(l,n)*CalMT(l)) + </t>
  </si>
  <si>
    <t>@sum(cena(m):E(m,n)*CalCC(m)))</t>
  </si>
  <si>
    <t>;</t>
  </si>
  <si>
    <t>!RESTRICCIONES;</t>
  </si>
  <si>
    <t>! i) La recomendación debe contener un Desayunos, media mañana, almuerzo,</t>
  </si>
  <si>
    <t>media tarde y cena para cada día.;</t>
  </si>
  <si>
    <t>@for(dia(n): @sum(desayuno(i):A(i,n)) = 1);</t>
  </si>
  <si>
    <t>@for(dia(n): @sum(mediaManana(j):B(j,n)) = 1);</t>
  </si>
  <si>
    <t>@for(dia(n): @sum(almuerzo(k):C(k,n)) = 1);</t>
  </si>
  <si>
    <t>@for(dia(n): @sum(mediaTarde(l):D(l,n)) = 1);</t>
  </si>
  <si>
    <t>@for(dia(n): @sum(cena(m):E(m,n)) = 1);</t>
  </si>
  <si>
    <t>! ii) Cada día se deben acumular una cantidad de calorías que procure ser</t>
  </si>
  <si>
    <t>igual o mayor a la cantidad de calorías recomendadas;</t>
  </si>
  <si>
    <t>@for(dia(n):@sum(desayuno(i):A(i,n)*CalD(i)) +</t>
  </si>
  <si>
    <t>@sum(cena(m):E(m,n)*CalCC(m)) &gt;= caloriasRecomendadas);</t>
  </si>
  <si>
    <t>! iii) El Desayunos, media mañana, almuerzo, media tarde y cena no deben</t>
  </si>
  <si>
    <t>repetirse en distintos días de una misma semana;</t>
  </si>
  <si>
    <t>@for(desayuno(i):@sum(dia(n):A(i,n))&lt;=1);</t>
  </si>
  <si>
    <t>@for(mediaManana(j):@sum(dia(n):B(j,n))&lt;=1);</t>
  </si>
  <si>
    <t>@for(almuerzo(k):@sum(dia(n):C(k,n))&lt;=1);</t>
  </si>
  <si>
    <t>@for(mediaTarde(l):@sum(dia(n):D(l,n))&lt;=1);</t>
  </si>
  <si>
    <t>@for(cena(m):@sum(dia(n):E(m,n))&lt;=1);</t>
  </si>
  <si>
    <t>!Escritura;</t>
  </si>
  <si>
    <t>!Resultados del lunes;</t>
  </si>
  <si>
    <t>@OLE('\SSDDietaSaludable.xlsm','DL') = @WRITEFOR(ddia(i,n)|(A(i,n)#GT#0)#AND#(n#EQ#1):i,CalD(i));</t>
  </si>
  <si>
    <t>@OLE('\SSDDietaSaludable.xlsm','MML') = @WRITEFOR(mmdia(j,n)|(B(j,n)#GT#0)#AND#(n#EQ#1):j,CalMM(j));</t>
  </si>
  <si>
    <t>@OLE('\SSDDietaSaludable.xlsm','AL') = @WRITEFOR(adia(k,n)|(C(k,n)#GT#0)#AND#(n#EQ#1):k,CalA(k));</t>
  </si>
  <si>
    <t>@OLE('\SSDDietaSaludable.xlsm','MTL') = @WRITEFOR(mtdia(l,n)|(D(l,n)#GT#0)#AND#(n#EQ#1):l,CalMT(l));</t>
  </si>
  <si>
    <t>@OLE('\SSDDietaSaludable.xlsm','CL') = @WRITEFOR(cdia(m,n)|(E(m,n)#GT#0)#AND#(n#EQ#1):m,CalCC(m));</t>
  </si>
  <si>
    <t>!Resultados del martes;</t>
  </si>
  <si>
    <t>@OLE('\SSDDietaSaludable.xlsm','DM') = @WRITEFOR(ddia(i,n)|(A(i,n)#GT#0)#AND#(n#EQ#2):i,CalD(i));</t>
  </si>
  <si>
    <t>@OLE('\SSDDietaSaludable.xlsm','MMM') = @WRITEFOR(mmdia(j,n)|(B(j,n)#GT#0)#AND#(n#EQ#2):j,CalMM(j));</t>
  </si>
  <si>
    <t>@OLE('\SSDDietaSaludable.xlsm','AM') = @WRITEFOR(adia(k,n)|(C(k,n)#GT#0)#AND#(n#EQ#2):k,CalA(k));</t>
  </si>
  <si>
    <t>@OLE('\SSDDietaSaludable.xlsm','MTM') = @WRITEFOR(mtdia(l,n)|(D(l,n)#GT#0)#AND#(n#EQ#2):l,CalMT(l));</t>
  </si>
  <si>
    <t>@OLE('\SSDDietaSaludable.xlsm','CM') = @WRITEFOR(cdia(m,n)|(E(m,n)#GT#0)#AND#(n#EQ#2):m,CalCC(m));</t>
  </si>
  <si>
    <t>!Resultados del miércoles;</t>
  </si>
  <si>
    <t>@OLE('\SSDDietaSaludable.xlsm','DX') = @WRITEFOR(ddia(i,n)|(A(i,n)#GT#0)#AND#(n#EQ#3):i,CalD(i));</t>
  </si>
  <si>
    <t>@OLE('\SSDDietaSaludable.xlsm','MMX') = @WRITEFOR(mmdia(j,n)|(B(j,n)#GT#0)#AND#(n#EQ#3):j,CalMM(j));</t>
  </si>
  <si>
    <t>@OLE('\SSDDietaSaludable.xlsm','AX') = @WRITEFOR(adia(k,n)|(C(k,n)#GT#0)#AND#(n#EQ#3):k,CalA(k));</t>
  </si>
  <si>
    <t>@OLE('\SSDDietaSaludable.xlsm','MTX') = @WRITEFOR(mtdia(l,n)|(D(l,n)#GT#0)#AND#(n#EQ#3):l,CalMT(l));</t>
  </si>
  <si>
    <t>@OLE('\SSDDietaSaludable.xlsm','CX') = @WRITEFOR(cdia(m,n)|(E(m,n)#GT#0)#AND#(n#EQ#3):m,CalCC(m));</t>
  </si>
  <si>
    <t>!Resultados del jueves;</t>
  </si>
  <si>
    <t>@OLE('\SSDDietaSaludable.xlsm','DJ') = @WRITEFOR(ddia(i,n)|(A(i,n)#GT#0)#AND#(n#EQ#4):i,CalD(i));</t>
  </si>
  <si>
    <t>@OLE('\SSDDietaSaludable.xlsm','MMJ') = @WRITEFOR(mmdia(j,n)|(B(j,n)#GT#0)#AND#(n#EQ#4):j,CalMM(j));</t>
  </si>
  <si>
    <t>@OLE('\SSDDietaSaludable.xlsm','AJ') = @WRITEFOR(adia(k,n)|(C(k,n)#GT#0)#AND#(n#EQ#4):k,CalA(k));</t>
  </si>
  <si>
    <t>@OLE('\SSDDietaSaludable.xlsm','MTJ') = @WRITEFOR(mtdia(l,n)|(D(l,n)#GT#0)#AND#(n#EQ#4):l,CalMT(l));</t>
  </si>
  <si>
    <t>@OLE('\SSDDietaSaludable.xlsm','CJ') = @WRITEFOR(cdia(m,n)|(E(m,n)#GT#0)#AND#(n#EQ#4):m,CalCC(m));</t>
  </si>
  <si>
    <t>!Resultados del viernes;</t>
  </si>
  <si>
    <t>@OLE('\SSDDietaSaludable.xlsm','DV') = @WRITEFOR(ddia(i,n)|(A(i,n)#GT#0)#AND#(n#EQ#5):i,CalD(i));</t>
  </si>
  <si>
    <t>@OLE('\SSDDietaSaludable.xlsm','MMV') = @WRITEFOR(mmdia(j,n)|(B(j,n)#GT#0)#AND#(n#EQ#5):j,CalMM(j));</t>
  </si>
  <si>
    <t>@OLE('\SSDDietaSaludable.xlsm','AV') = @WRITEFOR(adia(k,n)|(C(k,n)#GT#0)#AND#(n#EQ#5):k,CalA(k));</t>
  </si>
  <si>
    <t>@OLE('\SSDDietaSaludable.xlsm','MTV') = @WRITEFOR(mtdia(l,n)|(D(l,n)#GT#0)#AND#(n#EQ#5):l,CalMT(l));</t>
  </si>
  <si>
    <t>@OLE('\SSDDietaSaludable.xlsm','CV') = @WRITEFOR(cdia(m,n)|(E(m,n)#GT#0)#AND#(n#EQ#5):m,CalCC(m));</t>
  </si>
  <si>
    <t>!Resultados del sábado;</t>
  </si>
  <si>
    <t>@OLE('\SSDDietaSaludable.xlsm','DS') = @WRITEFOR(ddia(i,n)|(A(i,n)#GT#0)#AND#(n#EQ#6):i,CalD(i));</t>
  </si>
  <si>
    <t>@OLE('\SSDDietaSaludable.xlsm','MMS') = @WRITEFOR(mmdia(j,n)|(B(j,n)#GT#0)#AND#(n#EQ#6):j,CalMM(j));</t>
  </si>
  <si>
    <t>@OLE('\SSDDietaSaludable.xlsm','AS') = @WRITEFOR(adia(k,n)|(C(k,n)#GT#0)#AND#(n#EQ#6):k,CalA(k));</t>
  </si>
  <si>
    <t>@OLE('\SSDDietaSaludable.xlsm','MTS') = @WRITEFOR(mtdia(l,n)|(D(l,n)#GT#0)#AND#(n#EQ#6):l,CalMT(l));</t>
  </si>
  <si>
    <t>@OLE('\SSDDietaSaludable.xlsm','CS') = @WRITEFOR(cdia(m,n)|(E(m,n)#GT#0)#AND#(n#EQ#6):m,CalCC(m));</t>
  </si>
  <si>
    <t>!Resultados del domingo;</t>
  </si>
  <si>
    <t>@OLE('\SSDDietaSaludable.xlsm','DD') = @WRITEFOR(ddia(i,n)|(A(i,n)#GT#0)#AND#(n#EQ#7):i,CalD(i));</t>
  </si>
  <si>
    <t>@OLE('\SSDDietaSaludable.xlsm','MMD') = @WRITEFOR(mmdia(j,n)|(B(j,n)#GT#0)#AND#(n#EQ#7):j,CalMM(j));</t>
  </si>
  <si>
    <t>@OLE('\SSDDietaSaludable.xlsm','AD') = @WRITEFOR(adia(k,n)|(C(k,n)#GT#0)#AND#(n#EQ#7):k,CalA(k));</t>
  </si>
  <si>
    <t>@OLE('\SSDDietaSaludable.xlsm','MTD') = @WRITEFOR(mtdia(l,n)|(D(l,n)#GT#0)#AND#(n#EQ#7):l,CalMT(l));</t>
  </si>
  <si>
    <t>@OLE('\SSDDietaSaludable.xlsm','CD') = @WRITEFOR(cdia(m,n)|(E(m,n)#GT#0)#AND#(n#EQ#7):m,CalCC(m));</t>
  </si>
  <si>
    <t>@for(ddia:@bin(A));</t>
  </si>
  <si>
    <t>@for(mmdia:@bin(B));</t>
  </si>
  <si>
    <t>@for(adia:@bin(C));</t>
  </si>
  <si>
    <t>@for(mtdia:@bin(D));</t>
  </si>
  <si>
    <t>@for(ddia:@bin(E));</t>
  </si>
  <si>
    <t>END</t>
  </si>
  <si>
    <t>TERSE</t>
  </si>
  <si>
    <t>GO</t>
  </si>
  <si>
    <t>QUIT</t>
  </si>
  <si>
    <t>Desayuno</t>
  </si>
  <si>
    <t>Media mañana</t>
  </si>
  <si>
    <t>Almuerzo</t>
  </si>
  <si>
    <t>Media tarde</t>
  </si>
  <si>
    <t>Cena</t>
  </si>
  <si>
    <t>Cal</t>
  </si>
  <si>
    <t>!l; mediaTarde/mt01..mt23/: CalMT;</t>
  </si>
  <si>
    <t>Crema de espárragos</t>
  </si>
  <si>
    <t>Jugo de papaya, pan integral, mermelada de fresa</t>
  </si>
  <si>
    <t>Sandwich de pollo</t>
  </si>
  <si>
    <t>Pudín de chocolate</t>
  </si>
  <si>
    <t>Sopa a la minuta</t>
  </si>
  <si>
    <t>Leche, cereal con frutas, 2 huevos cocidos y jugo de naranja</t>
  </si>
  <si>
    <t>300g de sandía</t>
  </si>
  <si>
    <t>1 Manzana</t>
  </si>
  <si>
    <t>Salpicón de pollo</t>
  </si>
  <si>
    <t>jugo surtido,saltado de pollo,2 panes con camote y pera</t>
  </si>
  <si>
    <t>1 Pera</t>
  </si>
  <si>
    <t>Barra de cereales</t>
  </si>
  <si>
    <t>Macarrones</t>
  </si>
  <si>
    <t>Infusión, tostada, queso fresco, rodajas de frutas mixtas</t>
  </si>
  <si>
    <t>1 Mango</t>
  </si>
  <si>
    <t>100g de Ciruelas</t>
  </si>
  <si>
    <t>Ensalada de atún</t>
  </si>
  <si>
    <t>jugo surtido,pollo sancochado,2 panes yema y naranja</t>
  </si>
  <si>
    <t>1 Lima</t>
  </si>
  <si>
    <t>1 Chocolate</t>
  </si>
  <si>
    <t>Ensalada de pollo</t>
  </si>
  <si>
    <t>avena con piña,huevo sancochado,2 panes yema y rebanadas de melón</t>
  </si>
  <si>
    <t>200g de piña</t>
  </si>
  <si>
    <t>1 Mandarina</t>
  </si>
  <si>
    <t>Omelette de verduras</t>
  </si>
  <si>
    <t>Verde</t>
  </si>
  <si>
    <t>Azul</t>
  </si>
  <si>
    <t>Omelet de espinacas</t>
  </si>
  <si>
    <t>Locro de zapallo con huevo</t>
  </si>
  <si>
    <t>Pepinos trozados con pesto rojo</t>
  </si>
  <si>
    <t>Arroz con tofu encebollado y verduras</t>
  </si>
  <si>
    <t>Fideos espirales con hongos y verduras</t>
  </si>
  <si>
    <t>Ensalada de espárragos y requesón</t>
  </si>
  <si>
    <t>Tortilla de verduras</t>
  </si>
  <si>
    <t>Lasaña vegetariana</t>
  </si>
  <si>
    <t>Alcachofas rellenas de quinoa</t>
  </si>
  <si>
    <t>Arroz con mariscos</t>
  </si>
  <si>
    <t>Ceviche</t>
  </si>
  <si>
    <t>Parihuela</t>
  </si>
  <si>
    <t>Jalea</t>
  </si>
  <si>
    <t>Tiradito</t>
  </si>
  <si>
    <t>Chilcano</t>
  </si>
  <si>
    <t>Choros a la chalaca</t>
  </si>
  <si>
    <t>Leche de tigre</t>
  </si>
  <si>
    <t>Picante de mariscos</t>
  </si>
  <si>
    <t>Peso</t>
  </si>
  <si>
    <t>Calorias</t>
  </si>
  <si>
    <t>!i; desayuno/d01..d26/: CalD;</t>
  </si>
  <si>
    <t>!k; almuerzo/a01..a29/: CalA;</t>
  </si>
  <si>
    <t>!m; cena/c01..c23/: CalCC 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</si>
</sst>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1"/>
      <color theme="2" tint="-0.499984740745262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indexed="12"/>
      <name val="Calibri"/>
      <family val="2"/>
      <scheme val="minor"/>
    </font>
    <font>
      <sz val="11"/>
      <color theme="1"/>
      <name val="Century Gothic"/>
      <family val="2"/>
    </font>
    <font>
      <sz val="11"/>
      <color theme="2" tint="-0.499984740745262"/>
      <name val="Century Gothic"/>
      <family val="2"/>
    </font>
    <font>
      <b/>
      <sz val="11"/>
      <color theme="1"/>
      <name val="Century Gothic"/>
      <family val="2"/>
    </font>
    <font>
      <b/>
      <sz val="16"/>
      <color rgb="FF0000FF"/>
      <name val="Century Gothic"/>
      <family val="2"/>
    </font>
    <font>
      <b/>
      <sz val="12"/>
      <color rgb="FF0000FF"/>
      <name val="Calibri"/>
      <family val="2"/>
    </font>
    <font>
      <b/>
      <sz val="20"/>
      <color rgb="FF008000"/>
      <name val="Calibri"/>
      <family val="2"/>
    </font>
    <font>
      <b/>
      <sz val="20"/>
      <color rgb="FF0000FF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/>
    <xf numFmtId="0" fontId="3" fillId="0" borderId="6" xfId="0" applyFont="1" applyBorder="1" applyAlignment="1"/>
    <xf numFmtId="0" fontId="1" fillId="0" borderId="7" xfId="0" applyFont="1" applyBorder="1" applyAlignment="1"/>
    <xf numFmtId="0" fontId="1" fillId="0" borderId="6" xfId="0" applyFont="1" applyBorder="1" applyAlignment="1"/>
    <xf numFmtId="0" fontId="3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ont="1" applyFill="1"/>
    <xf numFmtId="0" fontId="0" fillId="2" borderId="0" xfId="0" applyFill="1"/>
    <xf numFmtId="0" fontId="4" fillId="2" borderId="0" xfId="0" applyFont="1" applyFill="1"/>
    <xf numFmtId="0" fontId="5" fillId="2" borderId="0" xfId="0" applyFont="1" applyFill="1"/>
    <xf numFmtId="0" fontId="6" fillId="2" borderId="0" xfId="0" applyFont="1" applyFill="1"/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wrapText="1"/>
    </xf>
    <xf numFmtId="0" fontId="8" fillId="2" borderId="3" xfId="0" applyFont="1" applyFill="1" applyBorder="1"/>
    <xf numFmtId="0" fontId="6" fillId="2" borderId="9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1" fontId="8" fillId="2" borderId="1" xfId="0" applyNumberFormat="1" applyFont="1" applyFill="1" applyBorder="1" applyAlignment="1">
      <alignment horizontal="right" vertical="center"/>
    </xf>
    <xf numFmtId="1" fontId="8" fillId="2" borderId="3" xfId="0" applyNumberFormat="1" applyFont="1" applyFill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11</xdr:row>
          <xdr:rowOff>47625</xdr:rowOff>
        </xdr:from>
        <xdr:to>
          <xdr:col>8</xdr:col>
          <xdr:colOff>371475</xdr:colOff>
          <xdr:row>17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600" b="1" i="0" u="none" strike="noStrike" baseline="0">
                  <a:solidFill>
                    <a:srgbClr val="0000FF"/>
                  </a:solidFill>
                  <a:latin typeface="Century Gothic"/>
                </a:rPr>
                <a:t>EMPEZAR SSD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3</xdr:row>
          <xdr:rowOff>47625</xdr:rowOff>
        </xdr:from>
        <xdr:to>
          <xdr:col>7</xdr:col>
          <xdr:colOff>647700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ELEGIR BASE DE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1123950</xdr:colOff>
          <xdr:row>1</xdr:row>
          <xdr:rowOff>104775</xdr:rowOff>
        </xdr:from>
        <xdr:to>
          <xdr:col>11</xdr:col>
          <xdr:colOff>552450</xdr:colOff>
          <xdr:row>4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20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Vegetariana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742950</xdr:colOff>
          <xdr:row>1</xdr:row>
          <xdr:rowOff>95250</xdr:rowOff>
        </xdr:from>
        <xdr:to>
          <xdr:col>14</xdr:col>
          <xdr:colOff>285750</xdr:colOff>
          <xdr:row>3</xdr:row>
          <xdr:rowOff>190500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20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Marina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1009650</xdr:colOff>
          <xdr:row>1</xdr:row>
          <xdr:rowOff>0</xdr:rowOff>
        </xdr:from>
        <xdr:to>
          <xdr:col>14</xdr:col>
          <xdr:colOff>371475</xdr:colOff>
          <xdr:row>4</xdr:row>
          <xdr:rowOff>85725</xdr:rowOff>
        </xdr:to>
        <xdr:sp macro="" textlink="">
          <xdr:nvSpPr>
            <xdr:cNvPr id="4103" name="Group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ESCENARIOS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</xdr:row>
          <xdr:rowOff>142875</xdr:rowOff>
        </xdr:from>
        <xdr:to>
          <xdr:col>4</xdr:col>
          <xdr:colOff>38100</xdr:colOff>
          <xdr:row>14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76200</xdr:rowOff>
        </xdr:from>
        <xdr:to>
          <xdr:col>7</xdr:col>
          <xdr:colOff>323850</xdr:colOff>
          <xdr:row>13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C4:F11"/>
  <sheetViews>
    <sheetView tabSelected="1" workbookViewId="0">
      <selection activeCell="C16" sqref="C16"/>
    </sheetView>
  </sheetViews>
  <sheetFormatPr baseColWidth="10" defaultRowHeight="15" x14ac:dyDescent="0.25"/>
  <cols>
    <col min="1" max="16384" width="11.42578125" style="16"/>
  </cols>
  <sheetData>
    <row r="4" spans="3:6" x14ac:dyDescent="0.25">
      <c r="C4" s="15"/>
      <c r="F4" s="17"/>
    </row>
    <row r="5" spans="3:6" x14ac:dyDescent="0.25">
      <c r="C5" s="15"/>
    </row>
    <row r="6" spans="3:6" x14ac:dyDescent="0.25">
      <c r="C6" s="15"/>
    </row>
    <row r="7" spans="3:6" x14ac:dyDescent="0.25">
      <c r="C7" s="15"/>
      <c r="E7" s="17"/>
      <c r="F7" s="18"/>
    </row>
    <row r="8" spans="3:6" x14ac:dyDescent="0.25">
      <c r="C8" s="15"/>
    </row>
    <row r="9" spans="3:6" x14ac:dyDescent="0.25">
      <c r="C9" s="15"/>
    </row>
    <row r="10" spans="3:6" x14ac:dyDescent="0.25">
      <c r="C10" s="15"/>
      <c r="F10" s="17"/>
    </row>
    <row r="11" spans="3:6" x14ac:dyDescent="0.25">
      <c r="C11" s="15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aunchUserForm">
                <anchor moveWithCells="1" sizeWithCells="1">
                  <from>
                    <xdr:col>4</xdr:col>
                    <xdr:colOff>752475</xdr:colOff>
                    <xdr:row>11</xdr:row>
                    <xdr:rowOff>47625</xdr:rowOff>
                  </from>
                  <to>
                    <xdr:col>8</xdr:col>
                    <xdr:colOff>371475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Path">
                <anchor moveWithCells="1" sizeWithCells="1">
                  <from>
                    <xdr:col>4</xdr:col>
                    <xdr:colOff>752475</xdr:colOff>
                    <xdr:row>3</xdr:row>
                    <xdr:rowOff>47625</xdr:rowOff>
                  </from>
                  <to>
                    <xdr:col>7</xdr:col>
                    <xdr:colOff>647700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A131"/>
  <sheetViews>
    <sheetView workbookViewId="0">
      <selection activeCell="A13" sqref="A13"/>
    </sheetView>
  </sheetViews>
  <sheetFormatPr baseColWidth="10" defaultRowHeight="15" x14ac:dyDescent="0.25"/>
  <cols>
    <col min="1" max="1" width="100.85546875" bestFit="1" customWidth="1"/>
  </cols>
  <sheetData>
    <row r="1" spans="1:1" x14ac:dyDescent="0.25">
      <c r="A1" t="s">
        <v>23</v>
      </c>
    </row>
    <row r="2" spans="1:1" x14ac:dyDescent="0.25">
      <c r="A2" t="s">
        <v>24</v>
      </c>
    </row>
    <row r="4" spans="1:1" x14ac:dyDescent="0.25">
      <c r="A4" t="s">
        <v>25</v>
      </c>
    </row>
    <row r="6" spans="1:1" x14ac:dyDescent="0.25">
      <c r="A6" t="s">
        <v>26</v>
      </c>
    </row>
    <row r="7" spans="1:1" x14ac:dyDescent="0.25">
      <c r="A7" t="s">
        <v>175</v>
      </c>
    </row>
    <row r="8" spans="1:1" x14ac:dyDescent="0.25">
      <c r="A8" t="s">
        <v>27</v>
      </c>
    </row>
    <row r="9" spans="1:1" x14ac:dyDescent="0.25">
      <c r="A9" t="s">
        <v>176</v>
      </c>
    </row>
    <row r="10" spans="1:1" x14ac:dyDescent="0.25">
      <c r="A10" t="s">
        <v>127</v>
      </c>
    </row>
    <row r="11" spans="1:1" x14ac:dyDescent="0.25">
      <c r="A11" t="s">
        <v>177</v>
      </c>
    </row>
    <row r="12" spans="1:1" x14ac:dyDescent="0.25">
      <c r="A12" t="s">
        <v>28</v>
      </c>
    </row>
    <row r="14" spans="1:1" x14ac:dyDescent="0.25">
      <c r="A14" t="s">
        <v>29</v>
      </c>
    </row>
    <row r="15" spans="1:1" x14ac:dyDescent="0.25">
      <c r="A15" t="s">
        <v>30</v>
      </c>
    </row>
    <row r="16" spans="1:1" x14ac:dyDescent="0.25">
      <c r="A16" t="s">
        <v>31</v>
      </c>
    </row>
    <row r="17" spans="1:1" x14ac:dyDescent="0.25">
      <c r="A17" t="s">
        <v>32</v>
      </c>
    </row>
    <row r="18" spans="1:1" x14ac:dyDescent="0.25">
      <c r="A18" t="s">
        <v>33</v>
      </c>
    </row>
    <row r="19" spans="1:1" x14ac:dyDescent="0.25">
      <c r="A19" t="s">
        <v>34</v>
      </c>
    </row>
    <row r="21" spans="1:1" x14ac:dyDescent="0.25">
      <c r="A21" t="s">
        <v>35</v>
      </c>
    </row>
    <row r="23" spans="1:1" x14ac:dyDescent="0.25">
      <c r="A23" t="s">
        <v>36</v>
      </c>
    </row>
    <row r="24" spans="1:1" x14ac:dyDescent="0.25">
      <c r="A24" t="s">
        <v>37</v>
      </c>
    </row>
    <row r="25" spans="1:1" x14ac:dyDescent="0.25">
      <c r="A25" t="s">
        <v>38</v>
      </c>
    </row>
    <row r="26" spans="1:1" x14ac:dyDescent="0.25">
      <c r="A26" t="s">
        <v>39</v>
      </c>
    </row>
    <row r="27" spans="1:1" x14ac:dyDescent="0.25">
      <c r="A27" t="s">
        <v>40</v>
      </c>
    </row>
    <row r="29" spans="1:1" x14ac:dyDescent="0.25">
      <c r="A29" t="s">
        <v>41</v>
      </c>
    </row>
    <row r="31" spans="1:1" x14ac:dyDescent="0.25">
      <c r="A31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s="14">
        <f>- (caloriasRecomendadas*7)</f>
        <v>-12850.145</v>
      </c>
    </row>
    <row r="41" spans="1:1" x14ac:dyDescent="0.25">
      <c r="A41" t="s">
        <v>49</v>
      </c>
    </row>
    <row r="43" spans="1:1" x14ac:dyDescent="0.25">
      <c r="A43" t="s">
        <v>50</v>
      </c>
    </row>
    <row r="44" spans="1:1" x14ac:dyDescent="0.25">
      <c r="A44" t="s">
        <v>51</v>
      </c>
    </row>
    <row r="45" spans="1:1" x14ac:dyDescent="0.25">
      <c r="A45" t="s">
        <v>52</v>
      </c>
    </row>
    <row r="46" spans="1:1" x14ac:dyDescent="0.25">
      <c r="A46" t="s">
        <v>53</v>
      </c>
    </row>
    <row r="47" spans="1:1" x14ac:dyDescent="0.25">
      <c r="A47" t="s">
        <v>54</v>
      </c>
    </row>
    <row r="48" spans="1:1" x14ac:dyDescent="0.25">
      <c r="A48" t="s">
        <v>55</v>
      </c>
    </row>
    <row r="49" spans="1:1" x14ac:dyDescent="0.25">
      <c r="A49" t="s">
        <v>56</v>
      </c>
    </row>
    <row r="50" spans="1:1" x14ac:dyDescent="0.25">
      <c r="A50" t="s">
        <v>57</v>
      </c>
    </row>
    <row r="52" spans="1:1" x14ac:dyDescent="0.25">
      <c r="A52" t="s">
        <v>58</v>
      </c>
    </row>
    <row r="53" spans="1:1" x14ac:dyDescent="0.25">
      <c r="A53" t="s">
        <v>59</v>
      </c>
    </row>
    <row r="54" spans="1:1" x14ac:dyDescent="0.25">
      <c r="A54" t="s">
        <v>60</v>
      </c>
    </row>
    <row r="55" spans="1:1" x14ac:dyDescent="0.25">
      <c r="A55" t="s">
        <v>45</v>
      </c>
    </row>
    <row r="56" spans="1:1" x14ac:dyDescent="0.25">
      <c r="A56" t="s">
        <v>46</v>
      </c>
    </row>
    <row r="57" spans="1:1" x14ac:dyDescent="0.25">
      <c r="A57" t="s">
        <v>47</v>
      </c>
    </row>
    <row r="58" spans="1:1" x14ac:dyDescent="0.25">
      <c r="A58" t="s">
        <v>61</v>
      </c>
    </row>
    <row r="60" spans="1:1" x14ac:dyDescent="0.25">
      <c r="A60" t="s">
        <v>62</v>
      </c>
    </row>
    <row r="61" spans="1:1" x14ac:dyDescent="0.25">
      <c r="A61" t="s">
        <v>63</v>
      </c>
    </row>
    <row r="62" spans="1:1" x14ac:dyDescent="0.25">
      <c r="A62" t="s">
        <v>64</v>
      </c>
    </row>
    <row r="63" spans="1:1" x14ac:dyDescent="0.25">
      <c r="A63" t="s">
        <v>65</v>
      </c>
    </row>
    <row r="64" spans="1:1" x14ac:dyDescent="0.25">
      <c r="A64" t="s">
        <v>66</v>
      </c>
    </row>
    <row r="65" spans="1:1" x14ac:dyDescent="0.25">
      <c r="A65" t="s">
        <v>67</v>
      </c>
    </row>
    <row r="66" spans="1:1" x14ac:dyDescent="0.25">
      <c r="A66" t="s">
        <v>68</v>
      </c>
    </row>
    <row r="68" spans="1:1" x14ac:dyDescent="0.25">
      <c r="A68" t="s">
        <v>69</v>
      </c>
    </row>
    <row r="69" spans="1:1" x14ac:dyDescent="0.25">
      <c r="A69" t="s">
        <v>35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72</v>
      </c>
    </row>
    <row r="74" spans="1:1" x14ac:dyDescent="0.25">
      <c r="A74" t="s">
        <v>73</v>
      </c>
    </row>
    <row r="75" spans="1:1" x14ac:dyDescent="0.25">
      <c r="A75" t="s">
        <v>74</v>
      </c>
    </row>
    <row r="76" spans="1:1" x14ac:dyDescent="0.25">
      <c r="A76" t="s">
        <v>75</v>
      </c>
    </row>
    <row r="78" spans="1:1" x14ac:dyDescent="0.25">
      <c r="A78" t="s">
        <v>76</v>
      </c>
    </row>
    <row r="79" spans="1:1" x14ac:dyDescent="0.25">
      <c r="A79" t="s">
        <v>77</v>
      </c>
    </row>
    <row r="80" spans="1:1" x14ac:dyDescent="0.25">
      <c r="A80" t="s">
        <v>78</v>
      </c>
    </row>
    <row r="81" spans="1:1" x14ac:dyDescent="0.25">
      <c r="A81" t="s">
        <v>79</v>
      </c>
    </row>
    <row r="82" spans="1:1" x14ac:dyDescent="0.25">
      <c r="A82" t="s">
        <v>80</v>
      </c>
    </row>
    <row r="83" spans="1:1" x14ac:dyDescent="0.25">
      <c r="A83" t="s">
        <v>81</v>
      </c>
    </row>
    <row r="85" spans="1:1" x14ac:dyDescent="0.25">
      <c r="A85" t="s">
        <v>82</v>
      </c>
    </row>
    <row r="86" spans="1:1" x14ac:dyDescent="0.25">
      <c r="A86" t="s">
        <v>83</v>
      </c>
    </row>
    <row r="87" spans="1:1" x14ac:dyDescent="0.25">
      <c r="A87" t="s">
        <v>84</v>
      </c>
    </row>
    <row r="88" spans="1:1" x14ac:dyDescent="0.25">
      <c r="A88" t="s">
        <v>85</v>
      </c>
    </row>
    <row r="89" spans="1:1" x14ac:dyDescent="0.25">
      <c r="A89" t="s">
        <v>86</v>
      </c>
    </row>
    <row r="90" spans="1:1" x14ac:dyDescent="0.25">
      <c r="A90" t="s">
        <v>87</v>
      </c>
    </row>
    <row r="92" spans="1:1" x14ac:dyDescent="0.25">
      <c r="A92" t="s">
        <v>88</v>
      </c>
    </row>
    <row r="93" spans="1:1" x14ac:dyDescent="0.25">
      <c r="A93" t="s">
        <v>89</v>
      </c>
    </row>
    <row r="94" spans="1:1" x14ac:dyDescent="0.25">
      <c r="A94" t="s">
        <v>90</v>
      </c>
    </row>
    <row r="95" spans="1:1" x14ac:dyDescent="0.25">
      <c r="A95" t="s">
        <v>91</v>
      </c>
    </row>
    <row r="96" spans="1:1" x14ac:dyDescent="0.25">
      <c r="A96" t="s">
        <v>92</v>
      </c>
    </row>
    <row r="97" spans="1:1" x14ac:dyDescent="0.25">
      <c r="A97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99</v>
      </c>
    </row>
    <row r="106" spans="1:1" x14ac:dyDescent="0.25">
      <c r="A106" t="s">
        <v>100</v>
      </c>
    </row>
    <row r="107" spans="1:1" x14ac:dyDescent="0.25">
      <c r="A107" t="s">
        <v>101</v>
      </c>
    </row>
    <row r="108" spans="1:1" x14ac:dyDescent="0.25">
      <c r="A108" t="s">
        <v>102</v>
      </c>
    </row>
    <row r="109" spans="1:1" x14ac:dyDescent="0.25">
      <c r="A109" t="s">
        <v>103</v>
      </c>
    </row>
    <row r="110" spans="1:1" x14ac:dyDescent="0.25">
      <c r="A110" t="s">
        <v>104</v>
      </c>
    </row>
    <row r="111" spans="1:1" x14ac:dyDescent="0.25">
      <c r="A111" t="s">
        <v>105</v>
      </c>
    </row>
    <row r="113" spans="1:1" x14ac:dyDescent="0.25">
      <c r="A113" t="s">
        <v>106</v>
      </c>
    </row>
    <row r="114" spans="1:1" x14ac:dyDescent="0.25">
      <c r="A114" t="s">
        <v>107</v>
      </c>
    </row>
    <row r="115" spans="1:1" x14ac:dyDescent="0.25">
      <c r="A115" t="s">
        <v>108</v>
      </c>
    </row>
    <row r="116" spans="1:1" x14ac:dyDescent="0.25">
      <c r="A116" t="s">
        <v>109</v>
      </c>
    </row>
    <row r="117" spans="1:1" x14ac:dyDescent="0.25">
      <c r="A117" t="s">
        <v>110</v>
      </c>
    </row>
    <row r="118" spans="1:1" x14ac:dyDescent="0.25">
      <c r="A118" t="s">
        <v>111</v>
      </c>
    </row>
    <row r="120" spans="1:1" x14ac:dyDescent="0.25">
      <c r="A120" t="s">
        <v>42</v>
      </c>
    </row>
    <row r="122" spans="1:1" x14ac:dyDescent="0.25">
      <c r="A122" t="s">
        <v>112</v>
      </c>
    </row>
    <row r="123" spans="1:1" x14ac:dyDescent="0.25">
      <c r="A123" t="s">
        <v>113</v>
      </c>
    </row>
    <row r="124" spans="1:1" x14ac:dyDescent="0.25">
      <c r="A124" t="s">
        <v>114</v>
      </c>
    </row>
    <row r="125" spans="1:1" x14ac:dyDescent="0.25">
      <c r="A125" t="s">
        <v>115</v>
      </c>
    </row>
    <row r="126" spans="1:1" x14ac:dyDescent="0.25">
      <c r="A126" t="s">
        <v>116</v>
      </c>
    </row>
    <row r="128" spans="1:1" x14ac:dyDescent="0.25">
      <c r="A128" t="s">
        <v>117</v>
      </c>
    </row>
    <row r="129" spans="1:1" x14ac:dyDescent="0.25">
      <c r="A129" t="s">
        <v>118</v>
      </c>
    </row>
    <row r="130" spans="1:1" x14ac:dyDescent="0.25">
      <c r="A130" t="s">
        <v>119</v>
      </c>
    </row>
    <row r="131" spans="1:1" x14ac:dyDescent="0.25">
      <c r="A131" t="s"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W39"/>
  <sheetViews>
    <sheetView zoomScale="75" zoomScaleNormal="75" workbookViewId="0">
      <selection activeCell="O4" sqref="O4"/>
    </sheetView>
  </sheetViews>
  <sheetFormatPr baseColWidth="10" defaultRowHeight="16.5" x14ac:dyDescent="0.3"/>
  <cols>
    <col min="1" max="1" width="2.28515625" style="19" customWidth="1"/>
    <col min="2" max="2" width="13.7109375" style="19" customWidth="1"/>
    <col min="3" max="3" width="26.42578125" style="20" customWidth="1"/>
    <col min="4" max="4" width="4.42578125" style="21" hidden="1" customWidth="1"/>
    <col min="5" max="5" width="6.85546875" style="19" customWidth="1"/>
    <col min="6" max="6" width="26.42578125" style="20" customWidth="1"/>
    <col min="7" max="7" width="4.42578125" style="19" hidden="1" customWidth="1"/>
    <col min="8" max="8" width="6.85546875" style="19" customWidth="1"/>
    <col min="9" max="9" width="26.42578125" style="20" customWidth="1"/>
    <col min="10" max="10" width="4.42578125" style="19" hidden="1" customWidth="1"/>
    <col min="11" max="11" width="6.85546875" style="19" customWidth="1"/>
    <col min="12" max="12" width="26.42578125" style="20" customWidth="1"/>
    <col min="13" max="13" width="4.42578125" style="19" hidden="1" customWidth="1"/>
    <col min="14" max="14" width="6.85546875" style="19" customWidth="1"/>
    <col min="15" max="15" width="26.42578125" style="20" customWidth="1"/>
    <col min="16" max="16" width="4.42578125" style="19" hidden="1" customWidth="1"/>
    <col min="17" max="17" width="6.85546875" style="19" customWidth="1"/>
    <col min="18" max="18" width="26.42578125" style="20" customWidth="1"/>
    <col min="19" max="19" width="4.42578125" style="19" hidden="1" customWidth="1"/>
    <col min="20" max="20" width="6.85546875" style="19" customWidth="1"/>
    <col min="21" max="21" width="26.42578125" style="20" customWidth="1"/>
    <col min="22" max="22" width="4.42578125" style="19" hidden="1" customWidth="1"/>
    <col min="23" max="23" width="6.85546875" style="19" customWidth="1"/>
    <col min="24" max="16384" width="11.42578125" style="19"/>
  </cols>
  <sheetData>
    <row r="1" spans="2:23" ht="12.75" customHeight="1" x14ac:dyDescent="0.3"/>
    <row r="2" spans="2:23" ht="12.75" customHeight="1" thickBot="1" x14ac:dyDescent="0.35"/>
    <row r="3" spans="2:23" ht="23.25" customHeight="1" thickBot="1" x14ac:dyDescent="0.35">
      <c r="B3" s="46" t="s">
        <v>0</v>
      </c>
      <c r="C3" s="47"/>
      <c r="D3" s="47"/>
      <c r="E3" s="47"/>
      <c r="F3" s="48">
        <v>1835.7350000000001</v>
      </c>
      <c r="G3" s="49"/>
      <c r="H3" s="26"/>
    </row>
    <row r="5" spans="2:23" ht="17.25" thickBot="1" x14ac:dyDescent="0.35"/>
    <row r="6" spans="2:23" ht="27.75" customHeight="1" thickBot="1" x14ac:dyDescent="0.35">
      <c r="C6" s="45" t="s">
        <v>1</v>
      </c>
      <c r="D6" s="37" t="s">
        <v>13</v>
      </c>
      <c r="E6" s="38" t="s">
        <v>126</v>
      </c>
      <c r="F6" s="36" t="s">
        <v>2</v>
      </c>
      <c r="G6" s="37" t="s">
        <v>13</v>
      </c>
      <c r="H6" s="38" t="s">
        <v>126</v>
      </c>
      <c r="I6" s="36" t="s">
        <v>3</v>
      </c>
      <c r="J6" s="37" t="s">
        <v>13</v>
      </c>
      <c r="K6" s="39" t="s">
        <v>126</v>
      </c>
      <c r="L6" s="36" t="s">
        <v>4</v>
      </c>
      <c r="M6" s="37" t="s">
        <v>13</v>
      </c>
      <c r="N6" s="39" t="s">
        <v>126</v>
      </c>
      <c r="O6" s="36" t="s">
        <v>5</v>
      </c>
      <c r="P6" s="37" t="s">
        <v>13</v>
      </c>
      <c r="Q6" s="38" t="s">
        <v>126</v>
      </c>
      <c r="R6" s="40" t="s">
        <v>6</v>
      </c>
      <c r="S6" s="37" t="s">
        <v>13</v>
      </c>
      <c r="T6" s="38" t="s">
        <v>126</v>
      </c>
      <c r="U6" s="36" t="s">
        <v>7</v>
      </c>
      <c r="V6" s="37" t="s">
        <v>13</v>
      </c>
      <c r="W6" s="38" t="s">
        <v>126</v>
      </c>
    </row>
    <row r="7" spans="2:23" ht="69" customHeight="1" x14ac:dyDescent="0.3">
      <c r="B7" s="29" t="s">
        <v>121</v>
      </c>
      <c r="C7" s="34"/>
      <c r="D7" s="43">
        <v>15</v>
      </c>
      <c r="E7" s="44">
        <v>365</v>
      </c>
      <c r="F7" s="34" t="s">
        <v>129</v>
      </c>
      <c r="G7" s="43">
        <v>3</v>
      </c>
      <c r="H7" s="44">
        <v>500.7</v>
      </c>
      <c r="I7" s="34" t="s">
        <v>133</v>
      </c>
      <c r="J7" s="43">
        <v>10</v>
      </c>
      <c r="K7" s="32">
        <v>400.5</v>
      </c>
      <c r="L7" s="34" t="s">
        <v>137</v>
      </c>
      <c r="M7" s="43">
        <v>25</v>
      </c>
      <c r="N7" s="32">
        <v>641</v>
      </c>
      <c r="O7" s="34" t="s">
        <v>141</v>
      </c>
      <c r="P7" s="43">
        <v>4</v>
      </c>
      <c r="Q7" s="44">
        <v>430.8</v>
      </c>
      <c r="R7" s="32" t="s">
        <v>145</v>
      </c>
      <c r="S7" s="43">
        <v>29</v>
      </c>
      <c r="T7" s="44">
        <v>613</v>
      </c>
      <c r="U7" s="34" t="s">
        <v>149</v>
      </c>
      <c r="V7" s="43">
        <v>28</v>
      </c>
      <c r="W7" s="44">
        <v>556</v>
      </c>
    </row>
    <row r="8" spans="2:23" ht="69" customHeight="1" x14ac:dyDescent="0.3">
      <c r="B8" s="30" t="s">
        <v>122</v>
      </c>
      <c r="C8" s="27"/>
      <c r="D8" s="22">
        <v>12</v>
      </c>
      <c r="E8" s="28">
        <v>189</v>
      </c>
      <c r="F8" s="27" t="s">
        <v>130</v>
      </c>
      <c r="G8" s="22">
        <v>9</v>
      </c>
      <c r="H8" s="28">
        <v>283</v>
      </c>
      <c r="I8" s="27" t="s">
        <v>134</v>
      </c>
      <c r="J8" s="22">
        <v>14</v>
      </c>
      <c r="K8" s="23">
        <v>135</v>
      </c>
      <c r="L8" s="27" t="s">
        <v>138</v>
      </c>
      <c r="M8" s="22">
        <v>16</v>
      </c>
      <c r="N8" s="23">
        <v>98</v>
      </c>
      <c r="O8" s="27" t="s">
        <v>142</v>
      </c>
      <c r="P8" s="22">
        <v>3</v>
      </c>
      <c r="Q8" s="28">
        <v>120</v>
      </c>
      <c r="R8" s="23" t="s">
        <v>146</v>
      </c>
      <c r="S8" s="22">
        <v>5</v>
      </c>
      <c r="T8" s="28">
        <v>30</v>
      </c>
      <c r="U8" s="27" t="s">
        <v>150</v>
      </c>
      <c r="V8" s="22">
        <v>2</v>
      </c>
      <c r="W8" s="28">
        <v>55</v>
      </c>
    </row>
    <row r="9" spans="2:23" ht="69" customHeight="1" x14ac:dyDescent="0.3">
      <c r="B9" s="30" t="s">
        <v>123</v>
      </c>
      <c r="C9" s="27" t="s">
        <v>167</v>
      </c>
      <c r="D9" s="22">
        <v>14</v>
      </c>
      <c r="E9" s="28">
        <v>628</v>
      </c>
      <c r="F9" s="27" t="s">
        <v>171</v>
      </c>
      <c r="G9" s="22">
        <v>38</v>
      </c>
      <c r="H9" s="28">
        <v>789</v>
      </c>
      <c r="I9" s="27" t="s">
        <v>172</v>
      </c>
      <c r="J9" s="22">
        <v>36</v>
      </c>
      <c r="K9" s="23">
        <v>863</v>
      </c>
      <c r="L9" s="27" t="s">
        <v>165</v>
      </c>
      <c r="M9" s="22">
        <v>24</v>
      </c>
      <c r="N9" s="23">
        <v>524</v>
      </c>
      <c r="O9" s="27" t="s">
        <v>168</v>
      </c>
      <c r="P9" s="22">
        <v>20</v>
      </c>
      <c r="Q9" s="28">
        <v>677</v>
      </c>
      <c r="R9" s="23" t="s">
        <v>164</v>
      </c>
      <c r="S9" s="22">
        <v>2</v>
      </c>
      <c r="T9" s="28">
        <v>490</v>
      </c>
      <c r="U9" s="27" t="s">
        <v>169</v>
      </c>
      <c r="V9" s="22">
        <v>37</v>
      </c>
      <c r="W9" s="28">
        <v>722</v>
      </c>
    </row>
    <row r="10" spans="2:23" ht="69" customHeight="1" x14ac:dyDescent="0.3">
      <c r="B10" s="30" t="s">
        <v>124</v>
      </c>
      <c r="C10" s="27"/>
      <c r="D10" s="22">
        <v>12</v>
      </c>
      <c r="E10" s="28">
        <v>280</v>
      </c>
      <c r="F10" s="27" t="s">
        <v>131</v>
      </c>
      <c r="G10" s="22">
        <v>21</v>
      </c>
      <c r="H10" s="28">
        <v>220</v>
      </c>
      <c r="I10" s="27" t="s">
        <v>135</v>
      </c>
      <c r="J10" s="22">
        <v>5</v>
      </c>
      <c r="K10" s="23">
        <v>104</v>
      </c>
      <c r="L10" s="27" t="s">
        <v>139</v>
      </c>
      <c r="M10" s="22">
        <v>9</v>
      </c>
      <c r="N10" s="23">
        <v>84</v>
      </c>
      <c r="O10" s="27" t="s">
        <v>143</v>
      </c>
      <c r="P10" s="22">
        <v>6</v>
      </c>
      <c r="Q10" s="28">
        <v>102</v>
      </c>
      <c r="R10" s="23" t="s">
        <v>147</v>
      </c>
      <c r="S10" s="22">
        <v>1</v>
      </c>
      <c r="T10" s="28">
        <v>48</v>
      </c>
      <c r="U10" s="27" t="s">
        <v>151</v>
      </c>
      <c r="V10" s="22">
        <v>4</v>
      </c>
      <c r="W10" s="28">
        <v>23</v>
      </c>
    </row>
    <row r="11" spans="2:23" ht="69" customHeight="1" thickBot="1" x14ac:dyDescent="0.35">
      <c r="B11" s="31" t="s">
        <v>125</v>
      </c>
      <c r="C11" s="35" t="s">
        <v>128</v>
      </c>
      <c r="D11" s="41">
        <v>27</v>
      </c>
      <c r="E11" s="42">
        <v>210</v>
      </c>
      <c r="F11" s="35" t="s">
        <v>132</v>
      </c>
      <c r="G11" s="41">
        <v>12</v>
      </c>
      <c r="H11" s="42">
        <v>156</v>
      </c>
      <c r="I11" s="35" t="s">
        <v>136</v>
      </c>
      <c r="J11" s="41">
        <v>24</v>
      </c>
      <c r="K11" s="33">
        <v>201</v>
      </c>
      <c r="L11" s="35" t="s">
        <v>140</v>
      </c>
      <c r="M11" s="41">
        <v>3</v>
      </c>
      <c r="N11" s="33">
        <v>310</v>
      </c>
      <c r="O11" s="35" t="s">
        <v>144</v>
      </c>
      <c r="P11" s="41">
        <v>8</v>
      </c>
      <c r="Q11" s="42">
        <v>383</v>
      </c>
      <c r="R11" s="33" t="s">
        <v>148</v>
      </c>
      <c r="S11" s="41">
        <v>7</v>
      </c>
      <c r="T11" s="42">
        <v>417</v>
      </c>
      <c r="U11" s="35" t="s">
        <v>152</v>
      </c>
      <c r="V11" s="41">
        <v>14</v>
      </c>
      <c r="W11" s="42">
        <v>246</v>
      </c>
    </row>
    <row r="12" spans="2:23" x14ac:dyDescent="0.3">
      <c r="D12" s="20"/>
      <c r="E12" s="20"/>
      <c r="G12" s="20"/>
      <c r="H12" s="20"/>
      <c r="J12" s="20"/>
      <c r="K12" s="20"/>
      <c r="M12" s="20"/>
      <c r="N12" s="20"/>
      <c r="P12" s="20"/>
      <c r="Q12" s="20"/>
      <c r="S12" s="20"/>
      <c r="T12" s="20"/>
    </row>
    <row r="13" spans="2:23" x14ac:dyDescent="0.3">
      <c r="B13" s="19" t="s">
        <v>15</v>
      </c>
      <c r="D13" s="20"/>
      <c r="E13" s="20">
        <f>+SUM(E7:E11)</f>
        <v>1672</v>
      </c>
      <c r="G13" s="20"/>
      <c r="H13" s="20">
        <f>+SUM(H7:H11)</f>
        <v>1948.7</v>
      </c>
      <c r="J13" s="20"/>
      <c r="K13" s="20">
        <f>+SUM(K7:K11)</f>
        <v>1703.5</v>
      </c>
      <c r="M13" s="20"/>
      <c r="N13" s="20">
        <f>+SUM(N7:N11)</f>
        <v>1657</v>
      </c>
      <c r="P13" s="20"/>
      <c r="Q13" s="20">
        <f>+SUM(Q7:Q11)</f>
        <v>1712.8</v>
      </c>
      <c r="S13" s="20"/>
      <c r="T13" s="20">
        <f>+SUM(T7:T11)</f>
        <v>1598</v>
      </c>
      <c r="W13" s="20">
        <f>+SUM(W7:W11)</f>
        <v>1602</v>
      </c>
    </row>
    <row r="14" spans="2:23" x14ac:dyDescent="0.3">
      <c r="B14" s="19" t="s">
        <v>16</v>
      </c>
      <c r="D14" s="20"/>
      <c r="E14" s="20">
        <f>+E13-caloriasRecomendadas</f>
        <v>-163.73500000000013</v>
      </c>
      <c r="G14" s="20"/>
      <c r="H14" s="20">
        <f>+H13-caloriasRecomendadas</f>
        <v>112.96499999999992</v>
      </c>
      <c r="J14" s="20"/>
      <c r="K14" s="20">
        <f>+K13-caloriasRecomendadas</f>
        <v>-132.23500000000013</v>
      </c>
      <c r="M14" s="20"/>
      <c r="N14" s="20">
        <f>+N13-caloriasRecomendadas</f>
        <v>-178.73500000000013</v>
      </c>
      <c r="P14" s="20"/>
      <c r="Q14" s="20">
        <f>+Q13-caloriasRecomendadas</f>
        <v>-122.93500000000017</v>
      </c>
      <c r="S14" s="20"/>
      <c r="T14" s="20">
        <f>+T13-caloriasRecomendadas</f>
        <v>-237.73500000000013</v>
      </c>
      <c r="W14" s="20">
        <f>+W13-caloriasRecomendadas</f>
        <v>-233.73500000000013</v>
      </c>
    </row>
    <row r="15" spans="2:23" x14ac:dyDescent="0.3">
      <c r="B15" s="19" t="s">
        <v>17</v>
      </c>
      <c r="D15" s="20"/>
      <c r="E15" s="20">
        <f>+SUM(E14:W14)</f>
        <v>-956.14500000000089</v>
      </c>
      <c r="G15" s="20"/>
      <c r="H15" s="20"/>
      <c r="J15" s="20"/>
      <c r="K15" s="20"/>
      <c r="M15" s="20"/>
      <c r="N15" s="20"/>
      <c r="P15" s="20"/>
      <c r="Q15" s="20"/>
      <c r="S15" s="20"/>
      <c r="T15" s="20"/>
    </row>
    <row r="16" spans="2:23" x14ac:dyDescent="0.3">
      <c r="C16" s="24"/>
      <c r="D16" s="24"/>
      <c r="E16" s="20"/>
      <c r="G16" s="20"/>
      <c r="H16" s="20"/>
      <c r="J16" s="20"/>
      <c r="K16" s="20"/>
      <c r="M16" s="20"/>
      <c r="N16" s="20"/>
      <c r="P16" s="20"/>
      <c r="Q16" s="20"/>
      <c r="S16" s="20"/>
      <c r="T16" s="20"/>
    </row>
    <row r="17" spans="3:20" x14ac:dyDescent="0.3">
      <c r="C17" s="24"/>
      <c r="D17" s="24"/>
      <c r="E17" s="20"/>
      <c r="G17" s="20"/>
      <c r="H17" s="20"/>
      <c r="J17" s="20"/>
      <c r="K17" s="20"/>
      <c r="M17" s="20"/>
      <c r="N17" s="20"/>
      <c r="P17" s="20"/>
      <c r="Q17" s="20"/>
      <c r="S17" s="20"/>
      <c r="T17" s="20"/>
    </row>
    <row r="18" spans="3:20" x14ac:dyDescent="0.3">
      <c r="C18" s="24"/>
      <c r="D18" s="24"/>
      <c r="E18" s="20"/>
      <c r="G18" s="20"/>
      <c r="H18" s="20"/>
      <c r="J18" s="20"/>
      <c r="K18" s="20"/>
      <c r="M18" s="20"/>
      <c r="N18" s="20"/>
      <c r="P18" s="20"/>
      <c r="Q18" s="20"/>
      <c r="S18" s="20"/>
      <c r="T18" s="20"/>
    </row>
    <row r="19" spans="3:20" x14ac:dyDescent="0.3">
      <c r="C19" s="24"/>
      <c r="D19" s="24"/>
      <c r="E19" s="20"/>
      <c r="G19" s="20"/>
      <c r="H19" s="20"/>
      <c r="J19" s="20"/>
      <c r="K19" s="20"/>
      <c r="M19" s="20"/>
      <c r="N19" s="20"/>
      <c r="P19" s="20"/>
      <c r="Q19" s="20"/>
      <c r="S19" s="20"/>
      <c r="T19" s="20"/>
    </row>
    <row r="20" spans="3:20" x14ac:dyDescent="0.3">
      <c r="C20" s="25"/>
      <c r="D20" s="25"/>
    </row>
    <row r="21" spans="3:20" x14ac:dyDescent="0.3">
      <c r="C21" s="19"/>
      <c r="D21" s="19"/>
    </row>
    <row r="22" spans="3:20" x14ac:dyDescent="0.3">
      <c r="C22" s="19"/>
      <c r="D22" s="19"/>
    </row>
    <row r="23" spans="3:20" x14ac:dyDescent="0.3">
      <c r="C23" s="19"/>
      <c r="D23" s="19"/>
    </row>
    <row r="24" spans="3:20" x14ac:dyDescent="0.3">
      <c r="C24" s="19"/>
      <c r="D24" s="19"/>
    </row>
    <row r="25" spans="3:20" x14ac:dyDescent="0.3">
      <c r="C25" s="25"/>
      <c r="D25" s="25"/>
    </row>
    <row r="26" spans="3:20" x14ac:dyDescent="0.3">
      <c r="C26" s="25"/>
      <c r="D26" s="25"/>
    </row>
    <row r="27" spans="3:20" x14ac:dyDescent="0.3">
      <c r="C27" s="25"/>
      <c r="D27" s="25"/>
    </row>
    <row r="28" spans="3:20" x14ac:dyDescent="0.3">
      <c r="C28" s="25"/>
      <c r="D28" s="25"/>
    </row>
    <row r="29" spans="3:20" x14ac:dyDescent="0.3">
      <c r="C29" s="25"/>
      <c r="D29" s="25"/>
    </row>
    <row r="30" spans="3:20" x14ac:dyDescent="0.3">
      <c r="C30" s="19"/>
      <c r="D30" s="19"/>
    </row>
    <row r="31" spans="3:20" x14ac:dyDescent="0.3">
      <c r="C31" s="19"/>
      <c r="D31" s="19"/>
    </row>
    <row r="32" spans="3:20" x14ac:dyDescent="0.3">
      <c r="C32" s="19"/>
      <c r="D32" s="19"/>
    </row>
    <row r="33" spans="3:4" x14ac:dyDescent="0.3">
      <c r="C33" s="19"/>
      <c r="D33" s="19"/>
    </row>
    <row r="34" spans="3:4" x14ac:dyDescent="0.3">
      <c r="C34" s="25"/>
      <c r="D34" s="25"/>
    </row>
    <row r="35" spans="3:4" x14ac:dyDescent="0.3">
      <c r="C35" s="25"/>
      <c r="D35" s="25"/>
    </row>
    <row r="36" spans="3:4" x14ac:dyDescent="0.3">
      <c r="C36" s="25"/>
      <c r="D36" s="25"/>
    </row>
    <row r="37" spans="3:4" x14ac:dyDescent="0.3">
      <c r="C37" s="25"/>
      <c r="D37" s="25"/>
    </row>
    <row r="38" spans="3:4" x14ac:dyDescent="0.3">
      <c r="C38" s="25"/>
      <c r="D38" s="25"/>
    </row>
    <row r="39" spans="3:4" x14ac:dyDescent="0.3">
      <c r="C39" s="19"/>
      <c r="D39" s="19"/>
    </row>
  </sheetData>
  <mergeCells count="2">
    <mergeCell ref="B3:E3"/>
    <mergeCell ref="F3:G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veg">
                <anchor moveWithCells="1" sizeWithCells="1">
                  <from>
                    <xdr:col>8</xdr:col>
                    <xdr:colOff>1123950</xdr:colOff>
                    <xdr:row>1</xdr:row>
                    <xdr:rowOff>104775</xdr:rowOff>
                  </from>
                  <to>
                    <xdr:col>11</xdr:col>
                    <xdr:colOff>552450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mar">
                <anchor moveWithCells="1" sizeWithCells="1">
                  <from>
                    <xdr:col>11</xdr:col>
                    <xdr:colOff>742950</xdr:colOff>
                    <xdr:row>1</xdr:row>
                    <xdr:rowOff>95250</xdr:rowOff>
                  </from>
                  <to>
                    <xdr:col>14</xdr:col>
                    <xdr:colOff>285750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Group Box 7">
              <controlPr defaultSize="0" autoFill="0" autoPict="0">
                <anchor moveWithCells="1">
                  <from>
                    <xdr:col>8</xdr:col>
                    <xdr:colOff>1009650</xdr:colOff>
                    <xdr:row>1</xdr:row>
                    <xdr:rowOff>0</xdr:rowOff>
                  </from>
                  <to>
                    <xdr:col>14</xdr:col>
                    <xdr:colOff>371475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1:F10"/>
  <sheetViews>
    <sheetView workbookViewId="0">
      <selection activeCell="F16" sqref="F16"/>
    </sheetView>
  </sheetViews>
  <sheetFormatPr baseColWidth="10" defaultRowHeight="15" x14ac:dyDescent="0.25"/>
  <cols>
    <col min="1" max="1" width="35.85546875" bestFit="1" customWidth="1"/>
    <col min="2" max="2" width="5.28515625" bestFit="1" customWidth="1"/>
    <col min="3" max="3" width="5.28515625" customWidth="1"/>
    <col min="4" max="4" width="18.5703125" bestFit="1" customWidth="1"/>
    <col min="5" max="5" width="5.28515625" bestFit="1" customWidth="1"/>
  </cols>
  <sheetData>
    <row r="1" spans="1:6" x14ac:dyDescent="0.25">
      <c r="A1" t="s">
        <v>153</v>
      </c>
      <c r="B1" t="s">
        <v>173</v>
      </c>
      <c r="C1" t="s">
        <v>174</v>
      </c>
      <c r="D1" t="s">
        <v>154</v>
      </c>
      <c r="E1" t="s">
        <v>173</v>
      </c>
      <c r="F1" t="s">
        <v>174</v>
      </c>
    </row>
    <row r="2" spans="1:6" x14ac:dyDescent="0.25">
      <c r="A2" t="s">
        <v>155</v>
      </c>
      <c r="B2">
        <v>6</v>
      </c>
      <c r="C2">
        <v>480</v>
      </c>
      <c r="D2" t="s">
        <v>164</v>
      </c>
      <c r="E2">
        <v>4</v>
      </c>
      <c r="F2">
        <v>490</v>
      </c>
    </row>
    <row r="3" spans="1:6" x14ac:dyDescent="0.25">
      <c r="A3" t="s">
        <v>163</v>
      </c>
      <c r="B3">
        <v>1</v>
      </c>
      <c r="C3">
        <v>490</v>
      </c>
      <c r="D3" t="s">
        <v>165</v>
      </c>
      <c r="E3">
        <v>6</v>
      </c>
      <c r="F3">
        <v>524</v>
      </c>
    </row>
    <row r="4" spans="1:6" x14ac:dyDescent="0.25">
      <c r="A4" t="s">
        <v>159</v>
      </c>
      <c r="B4">
        <v>8</v>
      </c>
      <c r="C4">
        <v>520</v>
      </c>
      <c r="D4" t="s">
        <v>166</v>
      </c>
      <c r="E4">
        <v>1</v>
      </c>
      <c r="F4">
        <v>545</v>
      </c>
    </row>
    <row r="5" spans="1:6" x14ac:dyDescent="0.25">
      <c r="A5" t="s">
        <v>156</v>
      </c>
      <c r="B5">
        <v>4</v>
      </c>
      <c r="C5">
        <v>537</v>
      </c>
      <c r="D5" t="s">
        <v>167</v>
      </c>
      <c r="E5">
        <v>9</v>
      </c>
      <c r="F5">
        <v>628</v>
      </c>
    </row>
    <row r="6" spans="1:6" x14ac:dyDescent="0.25">
      <c r="A6" t="s">
        <v>158</v>
      </c>
      <c r="B6">
        <v>7</v>
      </c>
      <c r="C6">
        <v>550</v>
      </c>
      <c r="D6" t="s">
        <v>168</v>
      </c>
      <c r="E6">
        <v>5</v>
      </c>
      <c r="F6">
        <v>677</v>
      </c>
    </row>
    <row r="7" spans="1:6" x14ac:dyDescent="0.25">
      <c r="A7" t="s">
        <v>160</v>
      </c>
      <c r="B7">
        <v>2</v>
      </c>
      <c r="C7">
        <v>595</v>
      </c>
      <c r="D7" t="s">
        <v>169</v>
      </c>
      <c r="E7">
        <v>3</v>
      </c>
      <c r="F7">
        <v>722</v>
      </c>
    </row>
    <row r="8" spans="1:6" x14ac:dyDescent="0.25">
      <c r="A8" t="s">
        <v>162</v>
      </c>
      <c r="B8">
        <v>3</v>
      </c>
      <c r="C8">
        <v>662</v>
      </c>
      <c r="D8" t="s">
        <v>170</v>
      </c>
      <c r="E8">
        <v>2</v>
      </c>
      <c r="F8">
        <v>778</v>
      </c>
    </row>
    <row r="9" spans="1:6" x14ac:dyDescent="0.25">
      <c r="A9" t="s">
        <v>161</v>
      </c>
      <c r="B9">
        <v>9</v>
      </c>
      <c r="C9">
        <v>775</v>
      </c>
      <c r="D9" t="s">
        <v>171</v>
      </c>
      <c r="E9">
        <v>8</v>
      </c>
      <c r="F9">
        <v>789</v>
      </c>
    </row>
    <row r="10" spans="1:6" x14ac:dyDescent="0.25">
      <c r="A10" t="s">
        <v>157</v>
      </c>
      <c r="B10">
        <v>5</v>
      </c>
      <c r="C10">
        <v>938</v>
      </c>
      <c r="D10" t="s">
        <v>172</v>
      </c>
      <c r="E10">
        <v>7</v>
      </c>
      <c r="F10">
        <v>863</v>
      </c>
    </row>
  </sheetData>
  <sortState ref="E2:F10">
    <sortCondition ref="F2:F10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eg">
                <anchor moveWithCells="1" sizeWithCells="1">
                  <from>
                    <xdr:col>1</xdr:col>
                    <xdr:colOff>142875</xdr:colOff>
                    <xdr:row>12</xdr:row>
                    <xdr:rowOff>142875</xdr:rowOff>
                  </from>
                  <to>
                    <xdr:col>4</xdr:col>
                    <xdr:colOff>38100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ar">
                <anchor moveWithCells="1" sizeWithCells="1">
                  <from>
                    <xdr:col>6</xdr:col>
                    <xdr:colOff>9525</xdr:colOff>
                    <xdr:row>11</xdr:row>
                    <xdr:rowOff>76200</xdr:rowOff>
                  </from>
                  <to>
                    <xdr:col>7</xdr:col>
                    <xdr:colOff>323850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V12"/>
  <sheetViews>
    <sheetView zoomScaleNormal="100" workbookViewId="0">
      <selection activeCell="B13" sqref="B13"/>
    </sheetView>
  </sheetViews>
  <sheetFormatPr baseColWidth="10" defaultRowHeight="15" x14ac:dyDescent="0.25"/>
  <cols>
    <col min="2" max="2" width="26.7109375" customWidth="1"/>
    <col min="8" max="8" width="13.28515625" bestFit="1" customWidth="1"/>
  </cols>
  <sheetData>
    <row r="1" spans="1:22" ht="15.75" thickBot="1" x14ac:dyDescent="0.3">
      <c r="A1" s="50" t="s">
        <v>0</v>
      </c>
      <c r="B1" s="51"/>
      <c r="C1" s="51"/>
      <c r="D1" s="51"/>
      <c r="E1" s="52">
        <v>-166.03199999999998</v>
      </c>
      <c r="F1" s="53"/>
      <c r="G1" s="1"/>
      <c r="H1" s="2"/>
      <c r="I1" s="1"/>
      <c r="J1" s="1"/>
      <c r="K1" s="2"/>
      <c r="L1" s="1"/>
      <c r="M1" s="1"/>
      <c r="N1" s="2"/>
      <c r="O1" s="1"/>
      <c r="P1" s="1"/>
      <c r="Q1" s="2"/>
      <c r="R1" s="1"/>
      <c r="S1" s="1"/>
      <c r="T1" s="2"/>
      <c r="U1" s="1"/>
      <c r="V1" s="1"/>
    </row>
    <row r="2" spans="1:22" x14ac:dyDescent="0.25">
      <c r="A2" s="1"/>
      <c r="B2" s="2"/>
      <c r="C2" s="3"/>
      <c r="D2" s="1"/>
      <c r="E2" s="2"/>
      <c r="F2" s="1"/>
      <c r="G2" s="1"/>
      <c r="H2" s="2"/>
      <c r="I2" s="1"/>
      <c r="J2" s="1"/>
      <c r="K2" s="2"/>
      <c r="L2" s="1"/>
      <c r="M2" s="1"/>
      <c r="N2" s="2"/>
      <c r="O2" s="1"/>
      <c r="P2" s="1"/>
      <c r="Q2" s="2"/>
      <c r="R2" s="1"/>
      <c r="S2" s="1"/>
      <c r="T2" s="2"/>
      <c r="U2" s="1"/>
      <c r="V2" s="1"/>
    </row>
    <row r="3" spans="1:22" x14ac:dyDescent="0.25">
      <c r="A3" s="1"/>
      <c r="B3" s="2"/>
      <c r="C3" s="3"/>
      <c r="D3" s="1"/>
      <c r="E3" s="2"/>
      <c r="F3" s="1"/>
      <c r="G3" s="1"/>
      <c r="H3" s="2"/>
      <c r="I3" s="1"/>
      <c r="J3" s="1"/>
      <c r="K3" s="2"/>
      <c r="L3" s="1"/>
      <c r="M3" s="1"/>
      <c r="N3" s="2"/>
      <c r="O3" s="1"/>
      <c r="P3" s="1"/>
      <c r="Q3" s="2"/>
      <c r="R3" s="1"/>
      <c r="S3" s="1"/>
      <c r="T3" s="2"/>
      <c r="U3" s="1"/>
      <c r="V3" s="1"/>
    </row>
    <row r="4" spans="1:22" x14ac:dyDescent="0.25">
      <c r="A4" s="1"/>
      <c r="B4" s="8" t="s">
        <v>1</v>
      </c>
      <c r="C4" s="9" t="s">
        <v>13</v>
      </c>
      <c r="D4" s="10" t="s">
        <v>14</v>
      </c>
      <c r="E4" s="6" t="s">
        <v>2</v>
      </c>
      <c r="F4" s="9" t="s">
        <v>13</v>
      </c>
      <c r="G4" s="10" t="s">
        <v>14</v>
      </c>
      <c r="H4" s="5" t="s">
        <v>3</v>
      </c>
      <c r="I4" s="9" t="s">
        <v>13</v>
      </c>
      <c r="J4" s="11" t="s">
        <v>14</v>
      </c>
      <c r="K4" s="6" t="s">
        <v>4</v>
      </c>
      <c r="L4" s="9" t="s">
        <v>13</v>
      </c>
      <c r="M4" s="10" t="s">
        <v>14</v>
      </c>
      <c r="N4" s="6" t="s">
        <v>5</v>
      </c>
      <c r="O4" s="9" t="s">
        <v>13</v>
      </c>
      <c r="P4" s="10" t="s">
        <v>14</v>
      </c>
      <c r="Q4" s="5" t="s">
        <v>6</v>
      </c>
      <c r="R4" s="9" t="s">
        <v>13</v>
      </c>
      <c r="S4" s="10" t="s">
        <v>14</v>
      </c>
      <c r="T4" s="5" t="s">
        <v>7</v>
      </c>
      <c r="U4" s="9" t="s">
        <v>13</v>
      </c>
      <c r="V4" s="10" t="s">
        <v>14</v>
      </c>
    </row>
    <row r="5" spans="1:22" ht="42.75" x14ac:dyDescent="0.25">
      <c r="A5" s="7" t="s">
        <v>8</v>
      </c>
      <c r="B5" s="4" t="s">
        <v>18</v>
      </c>
      <c r="C5" s="12">
        <v>16</v>
      </c>
      <c r="D5" s="13">
        <v>445</v>
      </c>
      <c r="E5" s="6"/>
      <c r="F5" s="12">
        <v>4</v>
      </c>
      <c r="G5" s="5">
        <v>430.8</v>
      </c>
      <c r="H5" s="6"/>
      <c r="I5" s="12">
        <v>8</v>
      </c>
      <c r="J5" s="5">
        <v>463.5</v>
      </c>
      <c r="K5" s="6"/>
      <c r="L5" s="12">
        <v>14</v>
      </c>
      <c r="M5" s="13">
        <v>424</v>
      </c>
      <c r="N5" s="5"/>
      <c r="O5" s="12">
        <v>6</v>
      </c>
      <c r="P5" s="13">
        <v>483</v>
      </c>
      <c r="Q5" s="5"/>
      <c r="R5" s="12">
        <v>10</v>
      </c>
      <c r="S5" s="13">
        <v>400.5</v>
      </c>
      <c r="T5" s="5"/>
      <c r="U5" s="12">
        <v>3</v>
      </c>
      <c r="V5" s="13">
        <v>500.7</v>
      </c>
    </row>
    <row r="6" spans="1:22" ht="28.5" x14ac:dyDescent="0.25">
      <c r="A6" s="7" t="s">
        <v>9</v>
      </c>
      <c r="B6" s="4" t="s">
        <v>19</v>
      </c>
      <c r="C6" s="12">
        <v>11</v>
      </c>
      <c r="D6" s="13">
        <v>138</v>
      </c>
      <c r="E6" s="6"/>
      <c r="F6" s="12">
        <v>12</v>
      </c>
      <c r="G6" s="5">
        <v>189</v>
      </c>
      <c r="H6" s="6"/>
      <c r="I6" s="12">
        <v>8</v>
      </c>
      <c r="J6" s="5">
        <v>133.5</v>
      </c>
      <c r="K6" s="6"/>
      <c r="L6" s="12">
        <v>9</v>
      </c>
      <c r="M6" s="13">
        <v>283</v>
      </c>
      <c r="N6" s="5"/>
      <c r="O6" s="12">
        <v>1</v>
      </c>
      <c r="P6" s="13">
        <v>104</v>
      </c>
      <c r="Q6" s="5"/>
      <c r="R6" s="12">
        <v>14</v>
      </c>
      <c r="S6" s="13">
        <v>135</v>
      </c>
      <c r="T6" s="5"/>
      <c r="U6" s="12">
        <v>16</v>
      </c>
      <c r="V6" s="13">
        <v>98</v>
      </c>
    </row>
    <row r="7" spans="1:22" ht="42.75" x14ac:dyDescent="0.25">
      <c r="A7" s="7" t="s">
        <v>10</v>
      </c>
      <c r="B7" s="4" t="s">
        <v>20</v>
      </c>
      <c r="C7" s="12">
        <v>5</v>
      </c>
      <c r="D7" s="13">
        <v>828</v>
      </c>
      <c r="E7" s="6"/>
      <c r="F7" s="12">
        <v>4</v>
      </c>
      <c r="G7" s="5">
        <v>890</v>
      </c>
      <c r="H7" s="6"/>
      <c r="I7" s="12">
        <v>7</v>
      </c>
      <c r="J7" s="5">
        <v>732</v>
      </c>
      <c r="K7" s="6"/>
      <c r="L7" s="12">
        <v>1</v>
      </c>
      <c r="M7" s="13">
        <v>868</v>
      </c>
      <c r="N7" s="5"/>
      <c r="O7" s="12">
        <v>10</v>
      </c>
      <c r="P7" s="13">
        <v>890</v>
      </c>
      <c r="Q7" s="5"/>
      <c r="R7" s="12">
        <v>12</v>
      </c>
      <c r="S7" s="13">
        <v>875</v>
      </c>
      <c r="T7" s="5"/>
      <c r="U7" s="12">
        <v>3</v>
      </c>
      <c r="V7" s="13">
        <v>840</v>
      </c>
    </row>
    <row r="8" spans="1:22" ht="42.75" x14ac:dyDescent="0.25">
      <c r="A8" s="7" t="s">
        <v>11</v>
      </c>
      <c r="B8" s="4" t="s">
        <v>21</v>
      </c>
      <c r="C8" s="12">
        <v>7</v>
      </c>
      <c r="D8" s="13">
        <v>34</v>
      </c>
      <c r="E8" s="6"/>
      <c r="F8" s="12">
        <v>2</v>
      </c>
      <c r="G8" s="5">
        <v>142</v>
      </c>
      <c r="H8" s="6"/>
      <c r="I8" s="12">
        <v>4</v>
      </c>
      <c r="J8" s="5">
        <v>280</v>
      </c>
      <c r="K8" s="6"/>
      <c r="L8" s="12">
        <v>10</v>
      </c>
      <c r="M8" s="13">
        <v>104</v>
      </c>
      <c r="N8" s="5"/>
      <c r="O8" s="12">
        <v>11</v>
      </c>
      <c r="P8" s="13">
        <v>102</v>
      </c>
      <c r="Q8" s="5"/>
      <c r="R8" s="12">
        <v>3</v>
      </c>
      <c r="S8" s="13">
        <v>134</v>
      </c>
      <c r="T8" s="5"/>
      <c r="U8" s="12">
        <v>5</v>
      </c>
      <c r="V8" s="13">
        <v>154</v>
      </c>
    </row>
    <row r="9" spans="1:22" ht="28.5" x14ac:dyDescent="0.25">
      <c r="A9" s="7" t="s">
        <v>12</v>
      </c>
      <c r="B9" s="4" t="s">
        <v>22</v>
      </c>
      <c r="C9" s="12">
        <v>1</v>
      </c>
      <c r="D9" s="13">
        <v>517</v>
      </c>
      <c r="E9" s="6"/>
      <c r="F9" s="12">
        <v>8</v>
      </c>
      <c r="G9" s="5">
        <v>310</v>
      </c>
      <c r="H9" s="6"/>
      <c r="I9" s="12">
        <v>5</v>
      </c>
      <c r="J9" s="5">
        <v>354</v>
      </c>
      <c r="K9" s="6"/>
      <c r="L9" s="12">
        <v>2</v>
      </c>
      <c r="M9" s="13">
        <v>282</v>
      </c>
      <c r="N9" s="5"/>
      <c r="O9" s="12">
        <v>13</v>
      </c>
      <c r="P9" s="13">
        <v>383</v>
      </c>
      <c r="Q9" s="5"/>
      <c r="R9" s="12">
        <v>12</v>
      </c>
      <c r="S9" s="13">
        <v>417</v>
      </c>
      <c r="T9" s="5"/>
      <c r="U9" s="12">
        <v>7</v>
      </c>
      <c r="V9" s="13">
        <v>369</v>
      </c>
    </row>
    <row r="10" spans="1:22" x14ac:dyDescent="0.25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1"/>
      <c r="V10" s="1"/>
    </row>
    <row r="11" spans="1:22" x14ac:dyDescent="0.25">
      <c r="A11" s="1" t="s">
        <v>15</v>
      </c>
      <c r="B11" s="2"/>
      <c r="C11" s="2"/>
      <c r="D11" s="2">
        <f>+SUM(D5:D9)</f>
        <v>1962</v>
      </c>
      <c r="E11" s="2"/>
      <c r="F11" s="2"/>
      <c r="G11" s="2">
        <f>+SUM(G5:G9)</f>
        <v>1961.8</v>
      </c>
      <c r="H11" s="2"/>
      <c r="I11" s="2"/>
      <c r="J11" s="2">
        <f>+SUM(J5:J9)</f>
        <v>1963</v>
      </c>
      <c r="K11" s="2"/>
      <c r="L11" s="2"/>
      <c r="M11" s="2">
        <f>+SUM(M5:M9)</f>
        <v>1961</v>
      </c>
      <c r="N11" s="2"/>
      <c r="O11" s="2"/>
      <c r="P11" s="2">
        <f>+SUM(P5:P9)</f>
        <v>1962</v>
      </c>
      <c r="Q11" s="2"/>
      <c r="R11" s="2"/>
      <c r="S11" s="2">
        <f>+SUM(S5:S9)</f>
        <v>1961.5</v>
      </c>
      <c r="T11" s="2"/>
      <c r="U11" s="1"/>
      <c r="V11" s="2">
        <f>+SUM(V5:V9)</f>
        <v>1961.7</v>
      </c>
    </row>
    <row r="12" spans="1:22" x14ac:dyDescent="0.25">
      <c r="A12" s="1" t="s">
        <v>16</v>
      </c>
      <c r="B12" s="2"/>
      <c r="C12" s="2"/>
      <c r="D12" s="2">
        <f>+D11-caloriasRecomendadas</f>
        <v>126.26499999999987</v>
      </c>
      <c r="E12" s="2"/>
      <c r="F12" s="2"/>
      <c r="G12" s="2">
        <f>+G11-caloriasRecomendadas</f>
        <v>126.06499999999983</v>
      </c>
      <c r="H12" s="2"/>
      <c r="I12" s="2"/>
      <c r="J12" s="2">
        <f>+J11-caloriasRecomendadas</f>
        <v>127.26499999999987</v>
      </c>
      <c r="K12" s="2"/>
      <c r="L12" s="2"/>
      <c r="M12" s="2">
        <f>+M11-caloriasRecomendadas</f>
        <v>125.26499999999987</v>
      </c>
      <c r="N12" s="2"/>
      <c r="O12" s="2"/>
      <c r="P12" s="2">
        <f>+P11-caloriasRecomendadas</f>
        <v>126.26499999999987</v>
      </c>
      <c r="Q12" s="2"/>
      <c r="R12" s="2"/>
      <c r="S12" s="2">
        <f>+S11-caloriasRecomendadas</f>
        <v>125.76499999999987</v>
      </c>
      <c r="T12" s="2"/>
      <c r="U12" s="1"/>
      <c r="V12" s="2">
        <f>+V11-caloriasRecomendadas</f>
        <v>125.96499999999992</v>
      </c>
    </row>
  </sheetData>
  <mergeCells count="2">
    <mergeCell ref="A1:D1"/>
    <mergeCell ref="E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B3"/>
  <sheetViews>
    <sheetView workbookViewId="0">
      <selection activeCell="C17" sqref="C17:D18"/>
    </sheetView>
  </sheetViews>
  <sheetFormatPr baseColWidth="10" defaultRowHeight="15" x14ac:dyDescent="0.25"/>
  <sheetData>
    <row r="3" spans="2:2" x14ac:dyDescent="0.25">
      <c r="B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37</vt:i4>
      </vt:variant>
    </vt:vector>
  </HeadingPairs>
  <TitlesOfParts>
    <vt:vector size="44" baseType="lpstr">
      <vt:lpstr>Main</vt:lpstr>
      <vt:lpstr>Modelo</vt:lpstr>
      <vt:lpstr>Resultados</vt:lpstr>
      <vt:lpstr>Hoja2</vt:lpstr>
      <vt:lpstr>Backup</vt:lpstr>
      <vt:lpstr>Prueba</vt:lpstr>
      <vt:lpstr>Hoja1</vt:lpstr>
      <vt:lpstr>AD</vt:lpstr>
      <vt:lpstr>AJ</vt:lpstr>
      <vt:lpstr>AL</vt:lpstr>
      <vt:lpstr>AM</vt:lpstr>
      <vt:lpstr>AS</vt:lpstr>
      <vt:lpstr>AV</vt:lpstr>
      <vt:lpstr>AX</vt:lpstr>
      <vt:lpstr>caloriasRecomendadas</vt:lpstr>
      <vt:lpstr>CD</vt:lpstr>
      <vt:lpstr>CJ</vt:lpstr>
      <vt:lpstr>CL</vt:lpstr>
      <vt:lpstr>CM</vt:lpstr>
      <vt:lpstr>CS</vt:lpstr>
      <vt:lpstr>CV</vt:lpstr>
      <vt:lpstr>CX</vt:lpstr>
      <vt:lpstr>DD</vt:lpstr>
      <vt:lpstr>DJ</vt:lpstr>
      <vt:lpstr>DL</vt:lpstr>
      <vt:lpstr>DM</vt:lpstr>
      <vt:lpstr>DS</vt:lpstr>
      <vt:lpstr>DV</vt:lpstr>
      <vt:lpstr>DX</vt:lpstr>
      <vt:lpstr>MMD</vt:lpstr>
      <vt:lpstr>MMJ</vt:lpstr>
      <vt:lpstr>MML</vt:lpstr>
      <vt:lpstr>MMM</vt:lpstr>
      <vt:lpstr>MMS</vt:lpstr>
      <vt:lpstr>MMV</vt:lpstr>
      <vt:lpstr>MMX</vt:lpstr>
      <vt:lpstr>Modelo</vt:lpstr>
      <vt:lpstr>MTD</vt:lpstr>
      <vt:lpstr>MTJ</vt:lpstr>
      <vt:lpstr>MTL</vt:lpstr>
      <vt:lpstr>MTM</vt:lpstr>
      <vt:lpstr>MTS</vt:lpstr>
      <vt:lpstr>MTV</vt:lpstr>
      <vt:lpstr>MTX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speedcell mc</dc:creator>
  <cp:lastModifiedBy>Andrea</cp:lastModifiedBy>
  <dcterms:created xsi:type="dcterms:W3CDTF">2019-11-22T03:25:12Z</dcterms:created>
  <dcterms:modified xsi:type="dcterms:W3CDTF">2019-12-04T03:39:31Z</dcterms:modified>
</cp:coreProperties>
</file>